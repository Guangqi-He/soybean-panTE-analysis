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c\01.project\4.TE\Manuscript\0.review\Analysis\02.libtest\"/>
    </mc:Choice>
  </mc:AlternateContent>
  <xr:revisionPtr revIDLastSave="0" documentId="13_ncr:1_{CBC22F02-321B-475A-BFE6-7B240172C355}" xr6:coauthVersionLast="47" xr6:coauthVersionMax="47" xr10:uidLastSave="{00000000-0000-0000-0000-000000000000}"/>
  <bookViews>
    <workbookView xWindow="1540" yWindow="1220" windowWidth="20990" windowHeight="1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" i="1"/>
</calcChain>
</file>

<file path=xl/sharedStrings.xml><?xml version="1.0" encoding="utf-8"?>
<sst xmlns="http://schemas.openxmlformats.org/spreadsheetml/2006/main" count="99" uniqueCount="75">
  <si>
    <t>58-161</t>
  </si>
  <si>
    <t>Landrace</t>
  </si>
  <si>
    <t>Amsoy</t>
  </si>
  <si>
    <t>Improved cultivar</t>
  </si>
  <si>
    <t>Dong Nong No.50</t>
  </si>
  <si>
    <t>Feng Di Huang</t>
  </si>
  <si>
    <t>Han Dou No.5</t>
  </si>
  <si>
    <t>Hei He No.43</t>
  </si>
  <si>
    <t>Ji Dou No.17</t>
  </si>
  <si>
    <t>Jin Dou No.23</t>
  </si>
  <si>
    <t>Ju Xuan No.23</t>
  </si>
  <si>
    <t>Ke Shan No.1</t>
  </si>
  <si>
    <t>PI 398296</t>
  </si>
  <si>
    <t>PI 548362</t>
  </si>
  <si>
    <t>PI 549046</t>
  </si>
  <si>
    <t>Glycine soja</t>
  </si>
  <si>
    <t>PI 562565</t>
  </si>
  <si>
    <t>Qi Huang No.34</t>
  </si>
  <si>
    <t>Shi Sheng Chang Ye</t>
  </si>
  <si>
    <t>Tie Feng No.18</t>
  </si>
  <si>
    <t>Tie Jia Si Li Huang</t>
  </si>
  <si>
    <t>Tong Shan Tian E Dan</t>
  </si>
  <si>
    <t>Wan Dou No.28</t>
  </si>
  <si>
    <t>Xu Dou No.1</t>
  </si>
  <si>
    <t>Yu Dou No.22</t>
  </si>
  <si>
    <t>Zhonghuang 13</t>
  </si>
  <si>
    <t>Zhutwinning2</t>
  </si>
  <si>
    <t>Zi Hua No.4</t>
  </si>
  <si>
    <t>PI 578357</t>
  </si>
  <si>
    <t>Zhang Chun Man Cang Jin</t>
    <phoneticPr fontId="1" type="noConversion"/>
  </si>
  <si>
    <t>samplename</t>
  </si>
  <si>
    <t>CACTA</t>
  </si>
  <si>
    <t>LINE</t>
  </si>
  <si>
    <t>PIF</t>
  </si>
  <si>
    <t>PONG</t>
  </si>
  <si>
    <t>SINE</t>
  </si>
  <si>
    <t>Tc1</t>
  </si>
  <si>
    <t>copia</t>
  </si>
  <si>
    <t>gypsy</t>
  </si>
  <si>
    <t>hAT</t>
  </si>
  <si>
    <t>helitron</t>
  </si>
  <si>
    <t>mutator</t>
  </si>
  <si>
    <t>stowaway</t>
  </si>
  <si>
    <t>toursit</t>
  </si>
  <si>
    <t>total TE</t>
  </si>
  <si>
    <t>SoyC01</t>
  </si>
  <si>
    <t>SoyC02</t>
  </si>
  <si>
    <t>SoyC03</t>
  </si>
  <si>
    <t>SoyC04</t>
  </si>
  <si>
    <t>SoyC05</t>
  </si>
  <si>
    <t>SoyC06</t>
  </si>
  <si>
    <t>SoyC07</t>
  </si>
  <si>
    <t>SoyC08</t>
  </si>
  <si>
    <t>SoyC09</t>
  </si>
  <si>
    <t>SoyC10</t>
  </si>
  <si>
    <t>SoyC11</t>
  </si>
  <si>
    <t>SoyC12</t>
  </si>
  <si>
    <t>SoyC13</t>
  </si>
  <si>
    <t>SoyC14</t>
  </si>
  <si>
    <t>SoyL01</t>
  </si>
  <si>
    <t>SoyL02</t>
  </si>
  <si>
    <t>SoyL03</t>
  </si>
  <si>
    <t>SoyL04</t>
  </si>
  <si>
    <t>SoyL05</t>
  </si>
  <si>
    <t>SoyL06</t>
  </si>
  <si>
    <t>SoyL07</t>
  </si>
  <si>
    <t>SoyL08</t>
  </si>
  <si>
    <t>SoyL09</t>
  </si>
  <si>
    <t>SoyW01</t>
  </si>
  <si>
    <t>SoyW02</t>
  </si>
  <si>
    <t>SoyW03</t>
  </si>
  <si>
    <t>ZH13</t>
  </si>
  <si>
    <t>LTR_other</t>
    <phoneticPr fontId="1" type="noConversion"/>
  </si>
  <si>
    <t>Varieties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</si>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</sst>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workbookViewId="0">
      <selection activeCell="B10" sqref="B10"/>
    </sheetView>
  </sheetViews>
  <sheetFormatPr defaultRowHeight="14" x14ac:dyDescent="0.3"/>
  <cols>
    <col min="1" max="1" width="21.5" customWidth="1"/>
    <col min="2" max="2" width="16.4140625" customWidth="1"/>
  </cols>
  <sheetData>
    <row r="1" spans="1:18" x14ac:dyDescent="0.3">
      <c r="A1" t="s">
        <v>73</v>
      </c>
      <c r="B1" t="s">
        <v>74</v>
      </c>
      <c r="C1" t="s">
        <v>30</v>
      </c>
      <c r="D1" t="s">
        <v>31</v>
      </c>
      <c r="E1" t="s">
        <v>32</v>
      </c>
      <c r="F1" t="s">
        <v>72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3">
      <c r="A2" t="s">
        <v>23</v>
      </c>
      <c r="B2" t="s">
        <v>3</v>
      </c>
      <c r="C2" t="s">
        <v>45</v>
      </c>
      <c r="D2">
        <v>1.7022980000000001</v>
      </c>
      <c r="E2">
        <v>1.2447950000000001</v>
      </c>
      <c r="F2">
        <v>0.15809999999999999</v>
      </c>
      <c r="G2">
        <v>0.39994000000000002</v>
      </c>
      <c r="H2">
        <v>6.0099999999999997E-3</v>
      </c>
      <c r="I2">
        <v>4.6637999999999999E-2</v>
      </c>
      <c r="J2">
        <v>4.6290000000000003E-3</v>
      </c>
      <c r="K2">
        <v>9.53505</v>
      </c>
      <c r="L2">
        <v>32.305109000000002</v>
      </c>
      <c r="M2">
        <v>0.60296899999999998</v>
      </c>
      <c r="N2">
        <v>0.57823899999999995</v>
      </c>
      <c r="O2">
        <v>2.0603880000000001</v>
      </c>
      <c r="P2">
        <v>0.189501</v>
      </c>
      <c r="Q2">
        <v>0.14405299999999999</v>
      </c>
      <c r="R2">
        <f t="shared" ref="R2:R28" si="0">SUM(D2:Q2)</f>
        <v>48.977719</v>
      </c>
    </row>
    <row r="3" spans="1:18" x14ac:dyDescent="0.3">
      <c r="A3" t="s">
        <v>19</v>
      </c>
      <c r="B3" t="s">
        <v>3</v>
      </c>
      <c r="C3" t="s">
        <v>46</v>
      </c>
      <c r="D3">
        <v>1.697616</v>
      </c>
      <c r="E3">
        <v>1.2442029999999999</v>
      </c>
      <c r="F3">
        <v>0.16033500000000001</v>
      </c>
      <c r="G3">
        <v>0.41775899999999999</v>
      </c>
      <c r="H3">
        <v>1.2292000000000001E-2</v>
      </c>
      <c r="I3">
        <v>2.6172999999999998E-2</v>
      </c>
      <c r="J3">
        <v>4.5440000000000003E-3</v>
      </c>
      <c r="K3">
        <v>9.4397559999999991</v>
      </c>
      <c r="L3">
        <v>32.458345000000001</v>
      </c>
      <c r="M3">
        <v>0.58155000000000001</v>
      </c>
      <c r="N3">
        <v>0.53313100000000002</v>
      </c>
      <c r="O3">
        <v>2.051968</v>
      </c>
      <c r="P3">
        <v>0.18196499999999999</v>
      </c>
      <c r="Q3">
        <v>0.14332500000000001</v>
      </c>
      <c r="R3">
        <f t="shared" si="0"/>
        <v>48.952961999999992</v>
      </c>
    </row>
    <row r="4" spans="1:18" x14ac:dyDescent="0.3">
      <c r="A4" t="s">
        <v>10</v>
      </c>
      <c r="B4" t="s">
        <v>3</v>
      </c>
      <c r="C4" t="s">
        <v>47</v>
      </c>
      <c r="D4">
        <v>1.682015</v>
      </c>
      <c r="E4">
        <v>1.328927</v>
      </c>
      <c r="F4">
        <v>0.14795</v>
      </c>
      <c r="G4">
        <v>0.39232</v>
      </c>
      <c r="H4">
        <v>6.9890000000000004E-3</v>
      </c>
      <c r="I4">
        <v>6.5560999999999994E-2</v>
      </c>
      <c r="J4">
        <v>4.8999999999999998E-3</v>
      </c>
      <c r="K4">
        <v>9.4020770000000002</v>
      </c>
      <c r="L4">
        <v>32.019970999999998</v>
      </c>
      <c r="M4">
        <v>0.71584999999999999</v>
      </c>
      <c r="N4">
        <v>0.48052699999999998</v>
      </c>
      <c r="O4">
        <v>2.0956649999999999</v>
      </c>
      <c r="P4">
        <v>0.17802699999999999</v>
      </c>
      <c r="Q4">
        <v>0.144181</v>
      </c>
      <c r="R4">
        <f t="shared" si="0"/>
        <v>48.664960000000001</v>
      </c>
    </row>
    <row r="5" spans="1:18" x14ac:dyDescent="0.3">
      <c r="A5" t="s">
        <v>22</v>
      </c>
      <c r="B5" t="s">
        <v>3</v>
      </c>
      <c r="C5" t="s">
        <v>48</v>
      </c>
      <c r="D5">
        <v>1.6805330000000001</v>
      </c>
      <c r="E5">
        <v>1.2566329999999999</v>
      </c>
      <c r="F5">
        <v>0.15013399999999999</v>
      </c>
      <c r="G5">
        <v>0.43654500000000002</v>
      </c>
      <c r="H5">
        <v>1.0845E-2</v>
      </c>
      <c r="I5">
        <v>5.0337E-2</v>
      </c>
      <c r="J5">
        <v>4.9399999999999999E-3</v>
      </c>
      <c r="K5">
        <v>9.361637</v>
      </c>
      <c r="L5">
        <v>32.018819000000001</v>
      </c>
      <c r="M5">
        <v>0.58987299999999998</v>
      </c>
      <c r="N5">
        <v>0.52087000000000006</v>
      </c>
      <c r="O5">
        <v>2.0427080000000002</v>
      </c>
      <c r="P5">
        <v>0.17103499999999999</v>
      </c>
      <c r="Q5">
        <v>0.14516000000000001</v>
      </c>
      <c r="R5">
        <f t="shared" si="0"/>
        <v>48.440068999999994</v>
      </c>
    </row>
    <row r="6" spans="1:18" x14ac:dyDescent="0.3">
      <c r="A6" t="s">
        <v>2</v>
      </c>
      <c r="B6" t="s">
        <v>3</v>
      </c>
      <c r="C6" t="s">
        <v>49</v>
      </c>
      <c r="D6">
        <v>1.6991229999999999</v>
      </c>
      <c r="E6">
        <v>1.361639</v>
      </c>
      <c r="F6">
        <v>0.16165299999999999</v>
      </c>
      <c r="G6">
        <v>0.51665099999999997</v>
      </c>
      <c r="H6">
        <v>5.947E-3</v>
      </c>
      <c r="I6">
        <v>5.2138999999999998E-2</v>
      </c>
      <c r="J6">
        <v>5.0670000000000003E-3</v>
      </c>
      <c r="K6">
        <v>9.3955079999999995</v>
      </c>
      <c r="L6">
        <v>31.658519999999999</v>
      </c>
      <c r="M6">
        <v>0.63486799999999999</v>
      </c>
      <c r="N6">
        <v>0.48843999999999999</v>
      </c>
      <c r="O6">
        <v>2.0988950000000002</v>
      </c>
      <c r="P6">
        <v>0.20383499999999999</v>
      </c>
      <c r="Q6">
        <v>0.14546400000000001</v>
      </c>
      <c r="R6">
        <f t="shared" si="0"/>
        <v>48.427748999999984</v>
      </c>
    </row>
    <row r="7" spans="1:18" x14ac:dyDescent="0.3">
      <c r="A7" t="s">
        <v>24</v>
      </c>
      <c r="B7" t="s">
        <v>3</v>
      </c>
      <c r="C7" t="s">
        <v>50</v>
      </c>
      <c r="D7">
        <v>1.682571</v>
      </c>
      <c r="E7">
        <v>1.4139139999999999</v>
      </c>
      <c r="F7">
        <v>0.206456</v>
      </c>
      <c r="G7">
        <v>0.46329900000000002</v>
      </c>
      <c r="H7">
        <v>7.8910000000000004E-3</v>
      </c>
      <c r="I7">
        <v>2.5735999999999998E-2</v>
      </c>
      <c r="J7">
        <v>4.9480000000000001E-3</v>
      </c>
      <c r="K7">
        <v>9.3147149999999996</v>
      </c>
      <c r="L7">
        <v>32.064101000000001</v>
      </c>
      <c r="M7">
        <v>0.60556399999999999</v>
      </c>
      <c r="N7">
        <v>0.57284299999999999</v>
      </c>
      <c r="O7">
        <v>2.0532460000000001</v>
      </c>
      <c r="P7">
        <v>0.171019</v>
      </c>
      <c r="Q7">
        <v>0.11515499999999999</v>
      </c>
      <c r="R7">
        <f t="shared" si="0"/>
        <v>48.701458000000009</v>
      </c>
    </row>
    <row r="8" spans="1:18" x14ac:dyDescent="0.3">
      <c r="A8" t="s">
        <v>9</v>
      </c>
      <c r="B8" t="s">
        <v>3</v>
      </c>
      <c r="C8" t="s">
        <v>51</v>
      </c>
      <c r="D8">
        <v>1.689071</v>
      </c>
      <c r="E8">
        <v>1.2561009999999999</v>
      </c>
      <c r="F8">
        <v>0.15758900000000001</v>
      </c>
      <c r="G8">
        <v>0.44912099999999999</v>
      </c>
      <c r="H8">
        <v>8.763E-3</v>
      </c>
      <c r="I8">
        <v>4.2963000000000001E-2</v>
      </c>
      <c r="J8">
        <v>4.614E-3</v>
      </c>
      <c r="K8">
        <v>9.5648610000000005</v>
      </c>
      <c r="L8">
        <v>32.699004000000002</v>
      </c>
      <c r="M8">
        <v>0.66532500000000006</v>
      </c>
      <c r="N8">
        <v>0.506741</v>
      </c>
      <c r="O8">
        <v>2.065191</v>
      </c>
      <c r="P8">
        <v>0.219805</v>
      </c>
      <c r="Q8">
        <v>0.14466999999999999</v>
      </c>
      <c r="R8">
        <f t="shared" si="0"/>
        <v>49.473818999999999</v>
      </c>
    </row>
    <row r="9" spans="1:18" x14ac:dyDescent="0.3">
      <c r="A9" t="s">
        <v>17</v>
      </c>
      <c r="B9" t="s">
        <v>3</v>
      </c>
      <c r="C9" t="s">
        <v>52</v>
      </c>
      <c r="D9">
        <v>1.6991369999999999</v>
      </c>
      <c r="E9">
        <v>1.428301</v>
      </c>
      <c r="F9">
        <v>0.14966299999999999</v>
      </c>
      <c r="G9">
        <v>0.42836800000000003</v>
      </c>
      <c r="H9">
        <v>8.9119999999999998E-3</v>
      </c>
      <c r="I9">
        <v>3.4166000000000002E-2</v>
      </c>
      <c r="J9">
        <v>4.6480000000000002E-3</v>
      </c>
      <c r="K9">
        <v>9.5094790000000007</v>
      </c>
      <c r="L9">
        <v>31.58024</v>
      </c>
      <c r="M9">
        <v>0.49170599999999998</v>
      </c>
      <c r="N9">
        <v>0.52354699999999998</v>
      </c>
      <c r="O9">
        <v>2.0801219999999998</v>
      </c>
      <c r="P9">
        <v>0.18759899999999999</v>
      </c>
      <c r="Q9">
        <v>0.14325199999999999</v>
      </c>
      <c r="R9">
        <f t="shared" si="0"/>
        <v>48.26914</v>
      </c>
    </row>
    <row r="10" spans="1:18" x14ac:dyDescent="0.3">
      <c r="A10" t="s">
        <v>6</v>
      </c>
      <c r="B10" t="s">
        <v>3</v>
      </c>
      <c r="C10" t="s">
        <v>53</v>
      </c>
      <c r="D10">
        <v>1.690963</v>
      </c>
      <c r="E10">
        <v>1.3373159999999999</v>
      </c>
      <c r="F10">
        <v>0.16753999999999999</v>
      </c>
      <c r="G10">
        <v>0.43695499999999998</v>
      </c>
      <c r="H10">
        <v>1.3964000000000001E-2</v>
      </c>
      <c r="I10">
        <v>3.2872999999999999E-2</v>
      </c>
      <c r="J10">
        <v>4.8349999999999999E-3</v>
      </c>
      <c r="K10">
        <v>9.4284979999999994</v>
      </c>
      <c r="L10">
        <v>31.062919000000001</v>
      </c>
      <c r="M10">
        <v>0.58808499999999997</v>
      </c>
      <c r="N10">
        <v>0.55591999999999997</v>
      </c>
      <c r="O10">
        <v>2.1243029999999998</v>
      </c>
      <c r="P10">
        <v>0.16233700000000001</v>
      </c>
      <c r="Q10">
        <v>0.142405</v>
      </c>
      <c r="R10">
        <f t="shared" si="0"/>
        <v>47.748912999999995</v>
      </c>
    </row>
    <row r="11" spans="1:18" x14ac:dyDescent="0.3">
      <c r="A11" t="s">
        <v>13</v>
      </c>
      <c r="B11" t="s">
        <v>3</v>
      </c>
      <c r="C11" t="s">
        <v>54</v>
      </c>
      <c r="D11">
        <v>1.7011499999999999</v>
      </c>
      <c r="E11">
        <v>1.2212529999999999</v>
      </c>
      <c r="F11">
        <v>0.146953</v>
      </c>
      <c r="G11">
        <v>0.40657100000000002</v>
      </c>
      <c r="H11">
        <v>3.0479999999999999E-3</v>
      </c>
      <c r="I11">
        <v>2.8670999999999999E-2</v>
      </c>
      <c r="J11">
        <v>4.6259999999999999E-3</v>
      </c>
      <c r="K11">
        <v>9.4765379999999997</v>
      </c>
      <c r="L11">
        <v>31.78088</v>
      </c>
      <c r="M11">
        <v>0.58685100000000001</v>
      </c>
      <c r="N11">
        <v>0.50285500000000005</v>
      </c>
      <c r="O11">
        <v>2.0753900000000001</v>
      </c>
      <c r="P11">
        <v>0.16403000000000001</v>
      </c>
      <c r="Q11">
        <v>0.14541799999999999</v>
      </c>
      <c r="R11">
        <f t="shared" si="0"/>
        <v>48.244233999999992</v>
      </c>
    </row>
    <row r="12" spans="1:18" x14ac:dyDescent="0.3">
      <c r="A12" t="s">
        <v>8</v>
      </c>
      <c r="B12" t="s">
        <v>3</v>
      </c>
      <c r="C12" t="s">
        <v>55</v>
      </c>
      <c r="D12">
        <v>1.699125</v>
      </c>
      <c r="E12">
        <v>1.3529789999999999</v>
      </c>
      <c r="F12">
        <v>0.157083</v>
      </c>
      <c r="G12">
        <v>0.42238700000000001</v>
      </c>
      <c r="H12">
        <v>7.8009999999999998E-3</v>
      </c>
      <c r="I12">
        <v>3.2187E-2</v>
      </c>
      <c r="J12">
        <v>4.744E-3</v>
      </c>
      <c r="K12">
        <v>9.7448709999999998</v>
      </c>
      <c r="L12">
        <v>31.260300000000001</v>
      </c>
      <c r="M12">
        <v>0.52245799999999998</v>
      </c>
      <c r="N12">
        <v>0.54588499999999995</v>
      </c>
      <c r="O12">
        <v>2.1575419999999998</v>
      </c>
      <c r="P12">
        <v>0.16397400000000001</v>
      </c>
      <c r="Q12">
        <v>0.14454900000000001</v>
      </c>
      <c r="R12">
        <f t="shared" si="0"/>
        <v>48.215885</v>
      </c>
    </row>
    <row r="13" spans="1:18" x14ac:dyDescent="0.3">
      <c r="A13" t="s">
        <v>4</v>
      </c>
      <c r="B13" t="s">
        <v>3</v>
      </c>
      <c r="C13" t="s">
        <v>56</v>
      </c>
      <c r="D13">
        <v>1.7390060000000001</v>
      </c>
      <c r="E13">
        <v>1.2870440000000001</v>
      </c>
      <c r="F13">
        <v>0.158525</v>
      </c>
      <c r="G13">
        <v>0.45818799999999998</v>
      </c>
      <c r="H13">
        <v>6.7580000000000001E-3</v>
      </c>
      <c r="I13">
        <v>4.6872999999999998E-2</v>
      </c>
      <c r="J13">
        <v>4.6909999999999999E-3</v>
      </c>
      <c r="K13">
        <v>9.5107710000000001</v>
      </c>
      <c r="L13">
        <v>32.129192000000003</v>
      </c>
      <c r="M13">
        <v>0.59853699999999999</v>
      </c>
      <c r="N13">
        <v>0.52305299999999999</v>
      </c>
      <c r="O13">
        <v>2.0859830000000001</v>
      </c>
      <c r="P13">
        <v>0.21301400000000001</v>
      </c>
      <c r="Q13">
        <v>0.141569</v>
      </c>
      <c r="R13">
        <f t="shared" si="0"/>
        <v>48.903203999999995</v>
      </c>
    </row>
    <row r="14" spans="1:18" x14ac:dyDescent="0.3">
      <c r="A14" t="s">
        <v>7</v>
      </c>
      <c r="B14" t="s">
        <v>3</v>
      </c>
      <c r="C14" t="s">
        <v>57</v>
      </c>
      <c r="D14">
        <v>1.6929620000000001</v>
      </c>
      <c r="E14">
        <v>1.252048</v>
      </c>
      <c r="F14">
        <v>0.157829</v>
      </c>
      <c r="G14">
        <v>0.50792899999999996</v>
      </c>
      <c r="H14">
        <v>5.1029999999999999E-3</v>
      </c>
      <c r="I14">
        <v>4.0730000000000002E-2</v>
      </c>
      <c r="J14">
        <v>4.7479999999999996E-3</v>
      </c>
      <c r="K14">
        <v>9.4117160000000002</v>
      </c>
      <c r="L14">
        <v>32.359996000000002</v>
      </c>
      <c r="M14">
        <v>0.65717000000000003</v>
      </c>
      <c r="N14">
        <v>0.51116700000000004</v>
      </c>
      <c r="O14">
        <v>2.0814050000000002</v>
      </c>
      <c r="P14">
        <v>0.181919</v>
      </c>
      <c r="Q14">
        <v>0.14303199999999999</v>
      </c>
      <c r="R14">
        <f t="shared" si="0"/>
        <v>49.007754000000006</v>
      </c>
    </row>
    <row r="15" spans="1:18" x14ac:dyDescent="0.3">
      <c r="A15" t="s">
        <v>11</v>
      </c>
      <c r="B15" t="s">
        <v>3</v>
      </c>
      <c r="C15" t="s">
        <v>58</v>
      </c>
      <c r="D15">
        <v>1.713948</v>
      </c>
      <c r="E15">
        <v>1.234248</v>
      </c>
      <c r="F15">
        <v>0.15973699999999999</v>
      </c>
      <c r="G15">
        <v>0.42088999999999999</v>
      </c>
      <c r="H15">
        <v>7.6880000000000004E-3</v>
      </c>
      <c r="I15">
        <v>1.7083999999999998E-2</v>
      </c>
      <c r="J15">
        <v>4.5719999999999997E-3</v>
      </c>
      <c r="K15">
        <v>9.6286170000000002</v>
      </c>
      <c r="L15">
        <v>32.295696</v>
      </c>
      <c r="M15">
        <v>0.55779000000000001</v>
      </c>
      <c r="N15">
        <v>0.65834300000000001</v>
      </c>
      <c r="O15">
        <v>2.1001530000000002</v>
      </c>
      <c r="P15">
        <v>0.185311</v>
      </c>
      <c r="Q15">
        <v>0.143479</v>
      </c>
      <c r="R15">
        <f t="shared" si="0"/>
        <v>49.127555999999991</v>
      </c>
    </row>
    <row r="16" spans="1:18" x14ac:dyDescent="0.3">
      <c r="A16" t="s">
        <v>26</v>
      </c>
      <c r="B16" t="s">
        <v>1</v>
      </c>
      <c r="C16" t="s">
        <v>59</v>
      </c>
      <c r="D16">
        <v>1.69981</v>
      </c>
      <c r="E16">
        <v>1.3318000000000001</v>
      </c>
      <c r="F16">
        <v>0.159636</v>
      </c>
      <c r="G16">
        <v>0.42553800000000003</v>
      </c>
      <c r="H16">
        <v>4.4380000000000001E-3</v>
      </c>
      <c r="I16">
        <v>2.8229000000000001E-2</v>
      </c>
      <c r="J16">
        <v>4.8250000000000003E-3</v>
      </c>
      <c r="K16">
        <v>9.3474129999999995</v>
      </c>
      <c r="L16">
        <v>32.196140999999997</v>
      </c>
      <c r="M16">
        <v>0.60767800000000005</v>
      </c>
      <c r="N16">
        <v>0.51688699999999999</v>
      </c>
      <c r="O16">
        <v>2.092956</v>
      </c>
      <c r="P16">
        <v>0.178622</v>
      </c>
      <c r="Q16">
        <v>0.14467099999999999</v>
      </c>
      <c r="R16">
        <f t="shared" si="0"/>
        <v>48.738643999999994</v>
      </c>
    </row>
    <row r="17" spans="1:18" x14ac:dyDescent="0.3">
      <c r="A17" t="s">
        <v>27</v>
      </c>
      <c r="B17" t="s">
        <v>1</v>
      </c>
      <c r="C17" t="s">
        <v>60</v>
      </c>
      <c r="D17">
        <v>1.6613039999999999</v>
      </c>
      <c r="E17">
        <v>1.230915</v>
      </c>
      <c r="F17">
        <v>0.22582099999999999</v>
      </c>
      <c r="G17">
        <v>0.498419</v>
      </c>
      <c r="H17">
        <v>8.5810000000000001E-3</v>
      </c>
      <c r="I17">
        <v>3.4028000000000003E-2</v>
      </c>
      <c r="J17">
        <v>4.7010000000000003E-3</v>
      </c>
      <c r="K17">
        <v>9.3423149999999993</v>
      </c>
      <c r="L17">
        <v>32.609405000000002</v>
      </c>
      <c r="M17">
        <v>0.49325600000000003</v>
      </c>
      <c r="N17">
        <v>0.57055900000000004</v>
      </c>
      <c r="O17">
        <v>2.0823230000000001</v>
      </c>
      <c r="P17">
        <v>0.18682699999999999</v>
      </c>
      <c r="Q17">
        <v>0.142764</v>
      </c>
      <c r="R17">
        <f t="shared" si="0"/>
        <v>49.091218000000012</v>
      </c>
    </row>
    <row r="18" spans="1:18" x14ac:dyDescent="0.3">
      <c r="A18" t="s">
        <v>21</v>
      </c>
      <c r="B18" t="s">
        <v>1</v>
      </c>
      <c r="C18" t="s">
        <v>61</v>
      </c>
      <c r="D18">
        <v>1.6450830000000001</v>
      </c>
      <c r="E18">
        <v>1.3003549999999999</v>
      </c>
      <c r="F18">
        <v>0.193664</v>
      </c>
      <c r="G18">
        <v>0.41228100000000001</v>
      </c>
      <c r="H18">
        <v>5.3359999999999996E-3</v>
      </c>
      <c r="I18">
        <v>1.7961999999999999E-2</v>
      </c>
      <c r="J18">
        <v>4.5979999999999997E-3</v>
      </c>
      <c r="K18">
        <v>9.4671280000000007</v>
      </c>
      <c r="L18">
        <v>32.672657999999998</v>
      </c>
      <c r="M18">
        <v>0.52663000000000004</v>
      </c>
      <c r="N18">
        <v>0.57804299999999997</v>
      </c>
      <c r="O18">
        <v>2.1131440000000001</v>
      </c>
      <c r="P18">
        <v>0.20513300000000001</v>
      </c>
      <c r="Q18">
        <v>0.13952100000000001</v>
      </c>
      <c r="R18">
        <f t="shared" si="0"/>
        <v>49.281536000000003</v>
      </c>
    </row>
    <row r="19" spans="1:18" x14ac:dyDescent="0.3">
      <c r="A19" t="s">
        <v>0</v>
      </c>
      <c r="B19" t="s">
        <v>1</v>
      </c>
      <c r="C19" t="s">
        <v>62</v>
      </c>
      <c r="D19">
        <v>1.6999960000000001</v>
      </c>
      <c r="E19">
        <v>1.2315240000000001</v>
      </c>
      <c r="F19">
        <v>0.15968499999999999</v>
      </c>
      <c r="G19">
        <v>0.44799</v>
      </c>
      <c r="H19">
        <v>7.7689999999999999E-3</v>
      </c>
      <c r="I19">
        <v>2.4594999999999999E-2</v>
      </c>
      <c r="J19">
        <v>4.875E-3</v>
      </c>
      <c r="K19">
        <v>9.3750529999999994</v>
      </c>
      <c r="L19">
        <v>32.324630999999997</v>
      </c>
      <c r="M19">
        <v>0.599634</v>
      </c>
      <c r="N19">
        <v>0.53977799999999998</v>
      </c>
      <c r="O19">
        <v>2.0615589999999999</v>
      </c>
      <c r="P19">
        <v>0.16992399999999999</v>
      </c>
      <c r="Q19">
        <v>0.130805</v>
      </c>
      <c r="R19">
        <f t="shared" si="0"/>
        <v>48.777818000000003</v>
      </c>
    </row>
    <row r="20" spans="1:18" x14ac:dyDescent="0.3">
      <c r="A20" t="s">
        <v>12</v>
      </c>
      <c r="B20" t="s">
        <v>1</v>
      </c>
      <c r="C20" t="s">
        <v>63</v>
      </c>
      <c r="D20">
        <v>1.6821170000000001</v>
      </c>
      <c r="E20">
        <v>1.1932700000000001</v>
      </c>
      <c r="F20">
        <v>0.15801000000000001</v>
      </c>
      <c r="G20">
        <v>0.42882500000000001</v>
      </c>
      <c r="H20">
        <v>1.1428000000000001E-2</v>
      </c>
      <c r="I20">
        <v>4.8312000000000001E-2</v>
      </c>
      <c r="J20">
        <v>4.5329999999999997E-3</v>
      </c>
      <c r="K20">
        <v>9.5127299999999995</v>
      </c>
      <c r="L20">
        <v>32.915638999999999</v>
      </c>
      <c r="M20">
        <v>0.60377800000000004</v>
      </c>
      <c r="N20">
        <v>0.51344000000000001</v>
      </c>
      <c r="O20">
        <v>2.0119400000000001</v>
      </c>
      <c r="P20">
        <v>0.16095599999999999</v>
      </c>
      <c r="Q20">
        <v>0.138599</v>
      </c>
      <c r="R20">
        <f t="shared" si="0"/>
        <v>49.383577000000002</v>
      </c>
    </row>
    <row r="21" spans="1:18" x14ac:dyDescent="0.3">
      <c r="A21" t="s">
        <v>29</v>
      </c>
      <c r="B21" t="s">
        <v>1</v>
      </c>
      <c r="C21" t="s">
        <v>64</v>
      </c>
      <c r="D21">
        <v>1.7387379999999999</v>
      </c>
      <c r="E21">
        <v>1.2857909999999999</v>
      </c>
      <c r="F21">
        <v>0.188136</v>
      </c>
      <c r="G21">
        <v>0.41888500000000001</v>
      </c>
      <c r="H21">
        <v>7.5929999999999999E-3</v>
      </c>
      <c r="I21">
        <v>5.2976000000000002E-2</v>
      </c>
      <c r="J21">
        <v>4.5599999999999998E-3</v>
      </c>
      <c r="K21">
        <v>9.4333729999999996</v>
      </c>
      <c r="L21">
        <v>32.217694000000002</v>
      </c>
      <c r="M21">
        <v>0.46117200000000003</v>
      </c>
      <c r="N21">
        <v>0.48909599999999998</v>
      </c>
      <c r="O21">
        <v>2.0705809999999998</v>
      </c>
      <c r="P21">
        <v>0.17533799999999999</v>
      </c>
      <c r="Q21">
        <v>0.14468400000000001</v>
      </c>
      <c r="R21">
        <f t="shared" si="0"/>
        <v>48.688616999999994</v>
      </c>
    </row>
    <row r="22" spans="1:18" x14ac:dyDescent="0.3">
      <c r="A22" t="s">
        <v>5</v>
      </c>
      <c r="B22" t="s">
        <v>1</v>
      </c>
      <c r="C22" t="s">
        <v>65</v>
      </c>
      <c r="D22">
        <v>1.7342379999999999</v>
      </c>
      <c r="E22">
        <v>1.2914270000000001</v>
      </c>
      <c r="F22">
        <v>0.146344</v>
      </c>
      <c r="G22">
        <v>0.47292600000000001</v>
      </c>
      <c r="H22">
        <v>3.679E-3</v>
      </c>
      <c r="I22">
        <v>3.9981000000000003E-2</v>
      </c>
      <c r="J22">
        <v>4.8120000000000003E-3</v>
      </c>
      <c r="K22">
        <v>9.4141940000000002</v>
      </c>
      <c r="L22">
        <v>32.733919999999998</v>
      </c>
      <c r="M22">
        <v>0.50689499999999998</v>
      </c>
      <c r="N22">
        <v>0.50185599999999997</v>
      </c>
      <c r="O22">
        <v>2.0631529999999998</v>
      </c>
      <c r="P22">
        <v>0.225962</v>
      </c>
      <c r="Q22">
        <v>0.14401900000000001</v>
      </c>
      <c r="R22">
        <f t="shared" si="0"/>
        <v>49.283405999999999</v>
      </c>
    </row>
    <row r="23" spans="1:18" x14ac:dyDescent="0.3">
      <c r="A23" t="s">
        <v>20</v>
      </c>
      <c r="B23" t="s">
        <v>1</v>
      </c>
      <c r="C23" t="s">
        <v>66</v>
      </c>
      <c r="D23">
        <v>1.6957100000000001</v>
      </c>
      <c r="E23">
        <v>1.3020959999999999</v>
      </c>
      <c r="F23">
        <v>0.15574299999999999</v>
      </c>
      <c r="G23">
        <v>0.45280900000000002</v>
      </c>
      <c r="H23">
        <v>6.0330000000000002E-3</v>
      </c>
      <c r="I23">
        <v>2.222E-2</v>
      </c>
      <c r="J23">
        <v>4.666E-3</v>
      </c>
      <c r="K23">
        <v>9.6241789999999998</v>
      </c>
      <c r="L23">
        <v>31.914048999999999</v>
      </c>
      <c r="M23">
        <v>0.68360900000000002</v>
      </c>
      <c r="N23">
        <v>0.50168599999999997</v>
      </c>
      <c r="O23">
        <v>2.1056300000000001</v>
      </c>
      <c r="P23">
        <v>0.198463</v>
      </c>
      <c r="Q23">
        <v>0.14349799999999999</v>
      </c>
      <c r="R23">
        <f t="shared" si="0"/>
        <v>48.810390999999989</v>
      </c>
    </row>
    <row r="24" spans="1:18" x14ac:dyDescent="0.3">
      <c r="A24" t="s">
        <v>18</v>
      </c>
      <c r="B24" t="s">
        <v>1</v>
      </c>
      <c r="C24" t="s">
        <v>67</v>
      </c>
      <c r="D24">
        <v>1.677292</v>
      </c>
      <c r="E24">
        <v>1.3236829999999999</v>
      </c>
      <c r="F24">
        <v>0.15243999999999999</v>
      </c>
      <c r="G24">
        <v>0.40472200000000003</v>
      </c>
      <c r="H24">
        <v>2.8270000000000001E-3</v>
      </c>
      <c r="I24">
        <v>1.0137E-2</v>
      </c>
      <c r="J24">
        <v>4.849E-3</v>
      </c>
      <c r="K24">
        <v>9.4981489999999997</v>
      </c>
      <c r="L24">
        <v>32.061495000000001</v>
      </c>
      <c r="M24">
        <v>0.67304200000000003</v>
      </c>
      <c r="N24">
        <v>0.55549000000000004</v>
      </c>
      <c r="O24">
        <v>2.15184</v>
      </c>
      <c r="P24">
        <v>0.17322000000000001</v>
      </c>
      <c r="Q24">
        <v>0.14638300000000001</v>
      </c>
      <c r="R24">
        <f t="shared" si="0"/>
        <v>48.835569</v>
      </c>
    </row>
    <row r="25" spans="1:18" x14ac:dyDescent="0.3">
      <c r="A25" t="s">
        <v>16</v>
      </c>
      <c r="B25" t="s">
        <v>15</v>
      </c>
      <c r="C25" t="s">
        <v>68</v>
      </c>
      <c r="D25">
        <v>1.6504669999999999</v>
      </c>
      <c r="E25">
        <v>1.2163120000000001</v>
      </c>
      <c r="F25">
        <v>0.159915</v>
      </c>
      <c r="G25">
        <v>0.456374</v>
      </c>
      <c r="H25">
        <v>9.2359999999999994E-3</v>
      </c>
      <c r="I25">
        <v>3.6819999999999999E-3</v>
      </c>
      <c r="J25">
        <v>4.6449999999999998E-3</v>
      </c>
      <c r="K25">
        <v>9.3847869999999993</v>
      </c>
      <c r="L25">
        <v>32.241503999999999</v>
      </c>
      <c r="M25">
        <v>0.53366899999999995</v>
      </c>
      <c r="N25">
        <v>0.490979</v>
      </c>
      <c r="O25">
        <v>2.0517889999999999</v>
      </c>
      <c r="P25">
        <v>0.205874</v>
      </c>
      <c r="Q25">
        <v>0.12928899999999999</v>
      </c>
      <c r="R25">
        <f t="shared" si="0"/>
        <v>48.538522000000007</v>
      </c>
    </row>
    <row r="26" spans="1:18" x14ac:dyDescent="0.3">
      <c r="A26" t="s">
        <v>14</v>
      </c>
      <c r="B26" t="s">
        <v>15</v>
      </c>
      <c r="C26" t="s">
        <v>69</v>
      </c>
      <c r="D26">
        <v>1.723665</v>
      </c>
      <c r="E26">
        <v>1.1589309999999999</v>
      </c>
      <c r="F26">
        <v>0.16644700000000001</v>
      </c>
      <c r="G26">
        <v>0.465642</v>
      </c>
      <c r="H26">
        <v>4.7450000000000001E-3</v>
      </c>
      <c r="I26">
        <v>4.8319000000000001E-2</v>
      </c>
      <c r="J26">
        <v>4.8089999999999999E-3</v>
      </c>
      <c r="K26">
        <v>9.327026</v>
      </c>
      <c r="L26">
        <v>32.396161999999997</v>
      </c>
      <c r="M26">
        <v>0.74845600000000001</v>
      </c>
      <c r="N26">
        <v>0.493898</v>
      </c>
      <c r="O26">
        <v>2.0735000000000001</v>
      </c>
      <c r="P26">
        <v>0.24277699999999999</v>
      </c>
      <c r="Q26">
        <v>0.14493800000000001</v>
      </c>
      <c r="R26">
        <f t="shared" si="0"/>
        <v>48.999314999999996</v>
      </c>
    </row>
    <row r="27" spans="1:18" x14ac:dyDescent="0.3">
      <c r="A27" t="s">
        <v>28</v>
      </c>
      <c r="B27" t="s">
        <v>15</v>
      </c>
      <c r="C27" t="s">
        <v>70</v>
      </c>
      <c r="D27">
        <v>1.6738109999999999</v>
      </c>
      <c r="E27">
        <v>1.27857</v>
      </c>
      <c r="F27">
        <v>0.20866599999999999</v>
      </c>
      <c r="G27">
        <v>0.39755800000000002</v>
      </c>
      <c r="H27">
        <v>1.1827000000000001E-2</v>
      </c>
      <c r="I27">
        <v>2.6859999999999998E-2</v>
      </c>
      <c r="J27">
        <v>4.9150000000000001E-3</v>
      </c>
      <c r="K27">
        <v>9.2290919999999996</v>
      </c>
      <c r="L27">
        <v>33.336889999999997</v>
      </c>
      <c r="M27">
        <v>0.51888699999999999</v>
      </c>
      <c r="N27">
        <v>0.584399</v>
      </c>
      <c r="O27">
        <v>2.0099260000000001</v>
      </c>
      <c r="P27">
        <v>0.231519</v>
      </c>
      <c r="Q27">
        <v>0.142816</v>
      </c>
      <c r="R27">
        <f t="shared" si="0"/>
        <v>49.655735999999997</v>
      </c>
    </row>
    <row r="28" spans="1:18" x14ac:dyDescent="0.3">
      <c r="A28" t="s">
        <v>25</v>
      </c>
      <c r="B28" t="s">
        <v>3</v>
      </c>
      <c r="C28" t="s">
        <v>71</v>
      </c>
      <c r="D28">
        <v>1.685314</v>
      </c>
      <c r="E28">
        <v>1.2876030000000001</v>
      </c>
      <c r="F28">
        <v>0.146763</v>
      </c>
      <c r="G28">
        <v>0.51377200000000001</v>
      </c>
      <c r="H28">
        <v>6.1199999999999996E-3</v>
      </c>
      <c r="I28">
        <v>5.2347999999999999E-2</v>
      </c>
      <c r="J28">
        <v>4.8110000000000002E-3</v>
      </c>
      <c r="K28">
        <v>9.3706929999999993</v>
      </c>
      <c r="L28">
        <v>31.655595000000002</v>
      </c>
      <c r="M28">
        <v>0.60458500000000004</v>
      </c>
      <c r="N28">
        <v>0.52539499999999995</v>
      </c>
      <c r="O28">
        <v>2.059987</v>
      </c>
      <c r="P28">
        <v>0.20371300000000001</v>
      </c>
      <c r="Q28">
        <v>0.14253399999999999</v>
      </c>
      <c r="R28">
        <f t="shared" si="0"/>
        <v>48.259233000000002</v>
      </c>
    </row>
    <row r="36" spans="9:10" x14ac:dyDescent="0.3">
      <c r="I36" s="1"/>
      <c r="J36" s="1"/>
    </row>
    <row r="37" spans="9:10" x14ac:dyDescent="0.3">
      <c r="I37" s="1"/>
      <c r="J37" s="1"/>
    </row>
    <row r="38" spans="9:10" x14ac:dyDescent="0.3">
      <c r="I38" s="1"/>
      <c r="J38" s="1"/>
    </row>
    <row r="39" spans="9:10" x14ac:dyDescent="0.3">
      <c r="I39" s="1"/>
      <c r="J39" s="1"/>
    </row>
    <row r="40" spans="9:10" x14ac:dyDescent="0.3">
      <c r="I40" s="1"/>
      <c r="J40" s="1"/>
    </row>
    <row r="41" spans="9:10" x14ac:dyDescent="0.3">
      <c r="I41" s="1"/>
      <c r="J41" s="1"/>
    </row>
    <row r="42" spans="9:10" x14ac:dyDescent="0.3">
      <c r="I42" s="1"/>
      <c r="J42" s="1"/>
    </row>
    <row r="43" spans="9:10" x14ac:dyDescent="0.3">
      <c r="I43" s="1"/>
      <c r="J43" s="1"/>
    </row>
    <row r="44" spans="9:10" x14ac:dyDescent="0.3">
      <c r="I44" s="1"/>
      <c r="J44" s="1"/>
    </row>
    <row r="45" spans="9:10" x14ac:dyDescent="0.3">
      <c r="I45" s="1"/>
      <c r="J45" s="1"/>
    </row>
    <row r="46" spans="9:10" x14ac:dyDescent="0.3">
      <c r="I46" s="1"/>
      <c r="J46" s="1"/>
    </row>
    <row r="47" spans="9:10" x14ac:dyDescent="0.3">
      <c r="I47" s="1"/>
      <c r="J47" s="1"/>
    </row>
    <row r="48" spans="9:10" x14ac:dyDescent="0.3">
      <c r="I48" s="1"/>
      <c r="J48" s="1"/>
    </row>
    <row r="49" spans="9:10" x14ac:dyDescent="0.3">
      <c r="I49" s="1"/>
      <c r="J49" s="1"/>
    </row>
    <row r="50" spans="9:10" x14ac:dyDescent="0.3">
      <c r="I50" s="1"/>
      <c r="J50" s="1"/>
    </row>
    <row r="51" spans="9:10" x14ac:dyDescent="0.3">
      <c r="I51" s="1"/>
      <c r="J51" s="1"/>
    </row>
    <row r="52" spans="9:10" x14ac:dyDescent="0.3">
      <c r="I52" s="1"/>
      <c r="J52" s="1"/>
    </row>
    <row r="53" spans="9:10" x14ac:dyDescent="0.3">
      <c r="I53" s="1"/>
      <c r="J53" s="1"/>
    </row>
    <row r="54" spans="9:10" x14ac:dyDescent="0.3">
      <c r="I54" s="1"/>
      <c r="J54" s="1"/>
    </row>
    <row r="55" spans="9:10" x14ac:dyDescent="0.3">
      <c r="I55" s="1"/>
      <c r="J55" s="1"/>
    </row>
    <row r="56" spans="9:10" x14ac:dyDescent="0.3">
      <c r="I56" s="1"/>
      <c r="J56" s="1"/>
    </row>
    <row r="57" spans="9:10" x14ac:dyDescent="0.3">
      <c r="I57" s="1"/>
      <c r="J57" s="1"/>
    </row>
    <row r="58" spans="9:10" x14ac:dyDescent="0.3">
      <c r="I58" s="1"/>
      <c r="J58" s="1"/>
    </row>
    <row r="59" spans="9:10" x14ac:dyDescent="0.3">
      <c r="I59" s="1"/>
      <c r="J59" s="1"/>
    </row>
    <row r="60" spans="9:10" x14ac:dyDescent="0.3">
      <c r="I60" s="1"/>
      <c r="J60" s="1"/>
    </row>
    <row r="61" spans="9:10" x14ac:dyDescent="0.3">
      <c r="I61" s="1"/>
      <c r="J61" s="1"/>
    </row>
    <row r="62" spans="9:10" x14ac:dyDescent="0.3">
      <c r="I62" s="1"/>
      <c r="J6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GuangQi He</cp:lastModifiedBy>
  <dcterms:created xsi:type="dcterms:W3CDTF">2015-06-05T18:19:34Z</dcterms:created>
  <dcterms:modified xsi:type="dcterms:W3CDTF">2026-05-15T03:04:58Z</dcterms:modified>
</cp:coreProperties>
</file>